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by Produc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<sst xmlns="http://schemas.openxmlformats.org/spreadsheetml/2006/main" count="98" uniqueCount="36">
  <si>
    <t xml:space="preserve">date</t>
  </si>
  <si>
    <t xml:space="preserve">product</t>
  </si>
  <si>
    <t xml:space="preserve">qty</t>
  </si>
  <si>
    <t xml:space="preserve">unit_price</t>
  </si>
  <si>
    <t xml:space="preserve">total</t>
  </si>
  <si>
    <t xml:space="preserve">2026-07-01</t>
  </si>
  <si>
    <t xml:space="preserve">Gel pen</t>
  </si>
  <si>
    <t xml:space="preserve">Pencil case</t>
  </si>
  <si>
    <t xml:space="preserve">Notebook</t>
  </si>
  <si>
    <t xml:space="preserve">2026-07-02</t>
  </si>
  <si>
    <t xml:space="preserve">Highlighter set</t>
  </si>
  <si>
    <t xml:space="preserve">2026-07-03</t>
  </si>
  <si>
    <t xml:space="preserve">Sticky notes</t>
  </si>
  <si>
    <t xml:space="preserve">2026-07-04</t>
  </si>
  <si>
    <t xml:space="preserve">Backpack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</si>
  <si>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</si>
  <si>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</si>
  <si>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</si>
  <si>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</si>
  <si>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</si>
  <si>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</si>
  <si>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</si>
  <si>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</si>
  <si>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</si>
  <si>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</si>
  <si>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July 2026 Sales Summary by Product</t>
  </si>
  <si>
    <t xml:space="preserve">Prices in Thai Baht (THB)</t>
  </si>
  <si>
    <t xml:space="preserve">Product</t>
  </si>
  <si>
    <t xml:space="preserve">Units Sold</t>
  </si>
  <si>
    <t xml:space="preserve">Total Revenue (THB)</t>
  </si>
  <si>
    <t xml:space="preserve">Avg. Unit Price (THB)</t>
  </si>
  <si>
    <t xml:space="preserve">No. of Orders</t>
  </si>
  <si>
    <t xml:space="preserve">% of Total Revenue</t>
  </si>
  <si>
    <t xml:space="preserve">TOTAL</t>
  </si>
  <si>
    <t xml:space="preserve">Note: One Backpack order on 2026-07-05 has no recorded quantity/price and is excluded from totals (see highlighted row in Raw Data tab).</t>
  </si>
  <si>
    <t xml:space="preserve">Top product by revenue: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</si>
</sst>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n">
        <v>4</v>
      </c>
      <c r="D2" s="3" t="n">
        <v>15</v>
      </c>
      <c r="E2" s="3" t="n">
        <v>60</v>
      </c>
    </row>
    <row r="3" customFormat="false" ht="15" hidden="false" customHeight="false" outlineLevel="0" collapsed="false">
      <c r="A3" s="2" t="s">
        <v>5</v>
      </c>
      <c r="B3" s="2" t="s">
        <v>7</v>
      </c>
      <c r="C3" s="2" t="n">
        <v>1</v>
      </c>
      <c r="D3" s="3" t="n">
        <v>120</v>
      </c>
      <c r="E3" s="3" t="n">
        <v>120</v>
      </c>
    </row>
    <row r="4" customFormat="false" ht="15" hidden="false" customHeight="false" outlineLevel="0" collapsed="false">
      <c r="A4" s="2" t="s">
        <v>5</v>
      </c>
      <c r="B4" s="2" t="s">
        <v>8</v>
      </c>
      <c r="C4" s="2" t="n">
        <v>5</v>
      </c>
      <c r="D4" s="3" t="n">
        <v>35</v>
      </c>
      <c r="E4" s="3" t="n">
        <v>175</v>
      </c>
    </row>
    <row r="5" customFormat="false" ht="15" hidden="false" customHeight="false" outlineLevel="0" collapsed="false">
      <c r="A5" s="2" t="s">
        <v>9</v>
      </c>
      <c r="B5" s="2" t="s">
        <v>10</v>
      </c>
      <c r="C5" s="2" t="n">
        <v>5</v>
      </c>
      <c r="D5" s="3" t="n">
        <v>89</v>
      </c>
      <c r="E5" s="3" t="n">
        <v>445</v>
      </c>
    </row>
    <row r="6" customFormat="false" ht="15" hidden="false" customHeight="false" outlineLevel="0" collapsed="false">
      <c r="A6" s="2" t="s">
        <v>9</v>
      </c>
      <c r="B6" s="2" t="s">
        <v>8</v>
      </c>
      <c r="C6" s="2" t="n">
        <v>5</v>
      </c>
      <c r="D6" s="3" t="n">
        <v>35</v>
      </c>
      <c r="E6" s="3" t="n">
        <v>175</v>
      </c>
    </row>
    <row r="7" customFormat="false" ht="15" hidden="false" customHeight="false" outlineLevel="0" collapsed="false">
      <c r="A7" s="2" t="s">
        <v>11</v>
      </c>
      <c r="B7" s="2" t="s">
        <v>8</v>
      </c>
      <c r="C7" s="2" t="n">
        <v>1</v>
      </c>
      <c r="D7" s="3" t="n">
        <v>35</v>
      </c>
      <c r="E7" s="3" t="n">
        <v>35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n">
        <v>4</v>
      </c>
      <c r="D8" s="3" t="n">
        <v>25</v>
      </c>
      <c r="E8" s="3" t="n">
        <v>100</v>
      </c>
    </row>
    <row r="9" customFormat="false" ht="15" hidden="false" customHeight="false" outlineLevel="0" collapsed="false">
      <c r="A9" s="2" t="s">
        <v>13</v>
      </c>
      <c r="B9" s="2" t="s">
        <v>6</v>
      </c>
      <c r="C9" s="2" t="n">
        <v>1</v>
      </c>
      <c r="D9" s="3" t="n">
        <v>15</v>
      </c>
      <c r="E9" s="3" t="n">
        <v>15</v>
      </c>
    </row>
    <row r="10" customFormat="false" ht="15" hidden="false" customHeight="false" outlineLevel="0" collapsed="false">
      <c r="A10" s="2" t="s">
        <v>13</v>
      </c>
      <c r="B10" s="2" t="s">
        <v>14</v>
      </c>
      <c r="C10" s="2" t="n">
        <v>2</v>
      </c>
      <c r="D10" s="3" t="n">
        <v>450</v>
      </c>
      <c r="E10" s="3" t="n">
        <v>900</v>
      </c>
    </row>
    <row r="11" customFormat="false" ht="15" hidden="false" customHeight="false" outlineLevel="0" collapsed="false">
      <c r="A11" s="4" t="s">
        <v>15</v>
      </c>
      <c r="B11" s="4" t="s">
        <v>14</v>
      </c>
      <c r="C11" s="4"/>
      <c r="D11" s="5" t="n">
        <v>450</v>
      </c>
      <c r="E11" s="4"/>
    </row>
    <row r="12" customFormat="false" ht="15" hidden="false" customHeight="false" outlineLevel="0" collapsed="false">
      <c r="A12" s="2" t="s">
        <v>15</v>
      </c>
      <c r="B12" s="2" t="s">
        <v>6</v>
      </c>
      <c r="C12" s="2" t="n">
        <v>6</v>
      </c>
      <c r="D12" s="3" t="n">
        <v>15</v>
      </c>
      <c r="E12" s="3" t="n">
        <v>90</v>
      </c>
    </row>
    <row r="13" customFormat="false" ht="15" hidden="false" customHeight="false" outlineLevel="0" collapsed="false">
      <c r="A13" s="2" t="s">
        <v>16</v>
      </c>
      <c r="B13" s="2" t="s">
        <v>14</v>
      </c>
      <c r="C13" s="2" t="n">
        <v>1</v>
      </c>
      <c r="D13" s="3" t="n">
        <v>450</v>
      </c>
      <c r="E13" s="3" t="n">
        <v>450</v>
      </c>
    </row>
    <row r="14" customFormat="false" ht="15" hidden="false" customHeight="false" outlineLevel="0" collapsed="false">
      <c r="A14" s="2" t="s">
        <v>16</v>
      </c>
      <c r="B14" s="2" t="s">
        <v>14</v>
      </c>
      <c r="C14" s="2" t="n">
        <v>2</v>
      </c>
      <c r="D14" s="3" t="n">
        <v>450</v>
      </c>
      <c r="E14" s="3" t="n">
        <v>900</v>
      </c>
    </row>
    <row r="15" customFormat="false" ht="15" hidden="false" customHeight="false" outlineLevel="0" collapsed="false">
      <c r="A15" s="2" t="s">
        <v>16</v>
      </c>
      <c r="B15" s="2" t="s">
        <v>8</v>
      </c>
      <c r="C15" s="2" t="n">
        <v>2</v>
      </c>
      <c r="D15" s="3" t="n">
        <v>35</v>
      </c>
      <c r="E15" s="3" t="n">
        <v>70</v>
      </c>
    </row>
    <row r="16" customFormat="false" ht="15" hidden="false" customHeight="false" outlineLevel="0" collapsed="false">
      <c r="A16" s="2" t="s">
        <v>16</v>
      </c>
      <c r="B16" s="2" t="s">
        <v>8</v>
      </c>
      <c r="C16" s="2" t="n">
        <v>5</v>
      </c>
      <c r="D16" s="3" t="n">
        <v>35</v>
      </c>
      <c r="E16" s="3" t="n">
        <v>175</v>
      </c>
    </row>
    <row r="17" customFormat="false" ht="15" hidden="false" customHeight="false" outlineLevel="0" collapsed="false">
      <c r="A17" s="2" t="s">
        <v>17</v>
      </c>
      <c r="B17" s="2" t="s">
        <v>10</v>
      </c>
      <c r="C17" s="2" t="n">
        <v>4</v>
      </c>
      <c r="D17" s="3" t="n">
        <v>89</v>
      </c>
      <c r="E17" s="3" t="n">
        <v>356</v>
      </c>
    </row>
    <row r="18" customFormat="false" ht="15" hidden="false" customHeight="false" outlineLevel="0" collapsed="false">
      <c r="A18" s="2" t="s">
        <v>17</v>
      </c>
      <c r="B18" s="2" t="s">
        <v>6</v>
      </c>
      <c r="C18" s="2" t="n">
        <v>5</v>
      </c>
      <c r="D18" s="3" t="n">
        <v>15</v>
      </c>
      <c r="E18" s="3" t="n">
        <v>75</v>
      </c>
    </row>
    <row r="19" customFormat="false" ht="15" hidden="false" customHeight="false" outlineLevel="0" collapsed="false">
      <c r="A19" s="2" t="s">
        <v>18</v>
      </c>
      <c r="B19" s="2" t="s">
        <v>14</v>
      </c>
      <c r="C19" s="2" t="n">
        <v>2</v>
      </c>
      <c r="D19" s="3" t="n">
        <v>450</v>
      </c>
      <c r="E19" s="3" t="n">
        <v>900</v>
      </c>
    </row>
    <row r="20" customFormat="false" ht="15" hidden="false" customHeight="false" outlineLevel="0" collapsed="false">
      <c r="A20" s="2" t="s">
        <v>18</v>
      </c>
      <c r="B20" s="2" t="s">
        <v>14</v>
      </c>
      <c r="C20" s="2" t="n">
        <v>1</v>
      </c>
      <c r="D20" s="3" t="n">
        <v>450</v>
      </c>
      <c r="E20" s="3" t="n">
        <v>450</v>
      </c>
    </row>
    <row r="21" customFormat="false" ht="15" hidden="false" customHeight="false" outlineLevel="0" collapsed="false">
      <c r="A21" s="2" t="s">
        <v>19</v>
      </c>
      <c r="B21" s="2" t="s">
        <v>14</v>
      </c>
      <c r="C21" s="2" t="n">
        <v>1</v>
      </c>
      <c r="D21" s="3" t="n">
        <v>450</v>
      </c>
      <c r="E21" s="3" t="n">
        <v>450</v>
      </c>
    </row>
    <row r="22" customFormat="false" ht="15" hidden="false" customHeight="false" outlineLevel="0" collapsed="false">
      <c r="A22" s="2" t="s">
        <v>19</v>
      </c>
      <c r="B22" s="2" t="s">
        <v>10</v>
      </c>
      <c r="C22" s="2" t="n">
        <v>1</v>
      </c>
      <c r="D22" s="3" t="n">
        <v>89</v>
      </c>
      <c r="E22" s="3" t="n">
        <v>89</v>
      </c>
    </row>
    <row r="23" customFormat="false" ht="15" hidden="false" customHeight="false" outlineLevel="0" collapsed="false">
      <c r="A23" s="2" t="s">
        <v>20</v>
      </c>
      <c r="B23" s="2" t="s">
        <v>7</v>
      </c>
      <c r="C23" s="2" t="n">
        <v>1</v>
      </c>
      <c r="D23" s="3" t="n">
        <v>120</v>
      </c>
      <c r="E23" s="3" t="n">
        <v>120</v>
      </c>
    </row>
    <row r="24" customFormat="false" ht="15" hidden="false" customHeight="false" outlineLevel="0" collapsed="false">
      <c r="A24" s="2" t="s">
        <v>20</v>
      </c>
      <c r="B24" s="2" t="s">
        <v>14</v>
      </c>
      <c r="C24" s="2" t="n">
        <v>1</v>
      </c>
      <c r="D24" s="3" t="n">
        <v>450</v>
      </c>
      <c r="E24" s="3" t="n">
        <v>450</v>
      </c>
    </row>
    <row r="25" customFormat="false" ht="15" hidden="false" customHeight="false" outlineLevel="0" collapsed="false">
      <c r="A25" s="2" t="s">
        <v>20</v>
      </c>
      <c r="B25" s="2" t="s">
        <v>14</v>
      </c>
      <c r="C25" s="2" t="n">
        <v>1</v>
      </c>
      <c r="D25" s="3" t="n">
        <v>450</v>
      </c>
      <c r="E25" s="3" t="n">
        <v>450</v>
      </c>
    </row>
    <row r="26" customFormat="false" ht="15" hidden="false" customHeight="false" outlineLevel="0" collapsed="false">
      <c r="A26" s="2" t="s">
        <v>20</v>
      </c>
      <c r="B26" s="2" t="s">
        <v>12</v>
      </c>
      <c r="C26" s="2" t="n">
        <v>6</v>
      </c>
      <c r="D26" s="3" t="n">
        <v>25</v>
      </c>
      <c r="E26" s="3" t="n">
        <v>150</v>
      </c>
    </row>
    <row r="27" customFormat="false" ht="15" hidden="false" customHeight="false" outlineLevel="0" collapsed="false">
      <c r="A27" s="2" t="s">
        <v>21</v>
      </c>
      <c r="B27" s="2" t="s">
        <v>12</v>
      </c>
      <c r="C27" s="2" t="n">
        <v>3</v>
      </c>
      <c r="D27" s="3" t="n">
        <v>25</v>
      </c>
      <c r="E27" s="3" t="n">
        <v>75</v>
      </c>
    </row>
    <row r="28" customFormat="false" ht="15" hidden="false" customHeight="false" outlineLevel="0" collapsed="false">
      <c r="A28" s="2" t="s">
        <v>21</v>
      </c>
      <c r="B28" s="2" t="s">
        <v>12</v>
      </c>
      <c r="C28" s="2" t="n">
        <v>5</v>
      </c>
      <c r="D28" s="3" t="n">
        <v>25</v>
      </c>
      <c r="E28" s="3" t="n">
        <v>125</v>
      </c>
    </row>
    <row r="29" customFormat="false" ht="15" hidden="false" customHeight="false" outlineLevel="0" collapsed="false">
      <c r="A29" s="2" t="s">
        <v>21</v>
      </c>
      <c r="B29" s="2" t="s">
        <v>12</v>
      </c>
      <c r="C29" s="2" t="n">
        <v>3</v>
      </c>
      <c r="D29" s="3" t="n">
        <v>25</v>
      </c>
      <c r="E29" s="3" t="n">
        <v>75</v>
      </c>
    </row>
    <row r="30" customFormat="false" ht="15" hidden="false" customHeight="false" outlineLevel="0" collapsed="false">
      <c r="A30" s="2" t="s">
        <v>21</v>
      </c>
      <c r="B30" s="2" t="s">
        <v>10</v>
      </c>
      <c r="C30" s="2" t="n">
        <v>2</v>
      </c>
      <c r="D30" s="3" t="n">
        <v>89</v>
      </c>
      <c r="E30" s="3" t="n">
        <v>178</v>
      </c>
    </row>
    <row r="31" customFormat="false" ht="15" hidden="false" customHeight="false" outlineLevel="0" collapsed="false">
      <c r="A31" s="2" t="s">
        <v>22</v>
      </c>
      <c r="B31" s="2" t="s">
        <v>7</v>
      </c>
      <c r="C31" s="2" t="n">
        <v>1</v>
      </c>
      <c r="D31" s="3" t="n">
        <v>120</v>
      </c>
      <c r="E31" s="3" t="n">
        <v>120</v>
      </c>
    </row>
    <row r="32" customFormat="false" ht="15" hidden="false" customHeight="false" outlineLevel="0" collapsed="false">
      <c r="A32" s="2" t="s">
        <v>22</v>
      </c>
      <c r="B32" s="2" t="s">
        <v>8</v>
      </c>
      <c r="C32" s="2" t="n">
        <v>5</v>
      </c>
      <c r="D32" s="3" t="n">
        <v>35</v>
      </c>
      <c r="E32" s="3" t="n">
        <v>175</v>
      </c>
    </row>
    <row r="33" customFormat="false" ht="15" hidden="false" customHeight="false" outlineLevel="0" collapsed="false">
      <c r="A33" s="2" t="s">
        <v>23</v>
      </c>
      <c r="B33" s="2" t="s">
        <v>14</v>
      </c>
      <c r="C33" s="2" t="n">
        <v>2</v>
      </c>
      <c r="D33" s="3" t="n">
        <v>450</v>
      </c>
      <c r="E33" s="3" t="n">
        <v>900</v>
      </c>
    </row>
    <row r="34" customFormat="false" ht="15" hidden="false" customHeight="false" outlineLevel="0" collapsed="false">
      <c r="A34" s="2" t="s">
        <v>23</v>
      </c>
      <c r="B34" s="2" t="s">
        <v>10</v>
      </c>
      <c r="C34" s="2" t="n">
        <v>6</v>
      </c>
      <c r="D34" s="3" t="n">
        <v>89</v>
      </c>
      <c r="E34" s="3" t="n">
        <v>534</v>
      </c>
    </row>
    <row r="35" customFormat="false" ht="15" hidden="false" customHeight="false" outlineLevel="0" collapsed="false">
      <c r="A35" s="2" t="s">
        <v>23</v>
      </c>
      <c r="B35" s="2" t="s">
        <v>12</v>
      </c>
      <c r="C35" s="2" t="n">
        <v>3</v>
      </c>
      <c r="D35" s="3" t="n">
        <v>25</v>
      </c>
      <c r="E35" s="3" t="n">
        <v>75</v>
      </c>
    </row>
    <row r="36" customFormat="false" ht="15" hidden="false" customHeight="false" outlineLevel="0" collapsed="false">
      <c r="A36" s="2" t="s">
        <v>24</v>
      </c>
      <c r="B36" s="2" t="s">
        <v>8</v>
      </c>
      <c r="C36" s="2" t="n">
        <v>1</v>
      </c>
      <c r="D36" s="3" t="n">
        <v>35</v>
      </c>
      <c r="E36" s="3" t="n">
        <v>35</v>
      </c>
    </row>
    <row r="37" customFormat="false" ht="15" hidden="false" customHeight="false" outlineLevel="0" collapsed="false">
      <c r="A37" s="2" t="s">
        <v>24</v>
      </c>
      <c r="B37" s="2" t="s">
        <v>14</v>
      </c>
      <c r="C37" s="2" t="n">
        <v>2</v>
      </c>
      <c r="D37" s="3" t="n">
        <v>450</v>
      </c>
      <c r="E37" s="3" t="n">
        <v>900</v>
      </c>
    </row>
    <row r="38" customFormat="false" ht="15" hidden="false" customHeight="false" outlineLevel="0" collapsed="false">
      <c r="A38" s="2" t="s">
        <v>24</v>
      </c>
      <c r="B38" s="2" t="s">
        <v>6</v>
      </c>
      <c r="C38" s="2" t="n">
        <v>3</v>
      </c>
      <c r="D38" s="3" t="n">
        <v>15</v>
      </c>
      <c r="E38" s="3" t="n">
        <v>45</v>
      </c>
    </row>
    <row r="39" customFormat="false" ht="15" hidden="false" customHeight="false" outlineLevel="0" collapsed="false">
      <c r="A39" s="2" t="s">
        <v>24</v>
      </c>
      <c r="B39" s="2" t="s">
        <v>6</v>
      </c>
      <c r="C39" s="2" t="n">
        <v>4</v>
      </c>
      <c r="D39" s="3" t="n">
        <v>15</v>
      </c>
      <c r="E39" s="3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6" t="s">
        <v>25</v>
      </c>
    </row>
    <row r="2" customFormat="false" ht="15" hidden="false" customHeight="false" outlineLevel="0" collapsed="false">
      <c r="A2" s="7" t="s">
        <v>26</v>
      </c>
    </row>
    <row r="4" customFormat="false" ht="26.85" hidden="false" customHeight="false" outlineLevel="0" collapsed="false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</row>
    <row r="5" customFormat="false" ht="15" hidden="false" customHeight="false" outlineLevel="0" collapsed="false">
      <c r="A5" s="9" t="s">
        <v>14</v>
      </c>
      <c r="B5" s="9" t="n">
        <f aca="false">SUMIFS('Raw Data'!C2:C39,'Raw Data'!B2:B39,A5)</f>
        <v>15</v>
      </c>
      <c r="C5" s="10" t="n">
        <f aca="false">SUMIFS('Raw Data'!E2:E39,'Raw Data'!B2:B39,A5)</f>
        <v>6750</v>
      </c>
      <c r="D5" s="11" t="n">
        <f aca="false">IFERROR(C5/B5,0)</f>
        <v>450</v>
      </c>
      <c r="E5" s="9" t="n">
        <f aca="false">COUNTIFS('Raw Data'!B2:B39,A5)</f>
        <v>11</v>
      </c>
      <c r="F5" s="12" t="n">
        <f aca="false">IFERROR(C5/$C$11,0)</f>
        <v>0.643040868819663</v>
      </c>
    </row>
    <row r="6" customFormat="false" ht="15" hidden="false" customHeight="false" outlineLevel="0" collapsed="false">
      <c r="A6" s="9" t="s">
        <v>6</v>
      </c>
      <c r="B6" s="9" t="n">
        <f aca="false">SUMIFS('Raw Data'!C2:C39,'Raw Data'!B2:B39,A6)</f>
        <v>23</v>
      </c>
      <c r="C6" s="10" t="n">
        <f aca="false">SUMIFS('Raw Data'!E2:E39,'Raw Data'!B2:B39,A6)</f>
        <v>345</v>
      </c>
      <c r="D6" s="11" t="n">
        <f aca="false">IFERROR(C6/B6,0)</f>
        <v>15</v>
      </c>
      <c r="E6" s="9" t="n">
        <f aca="false">COUNTIFS('Raw Data'!B2:B39,A6)</f>
        <v>6</v>
      </c>
      <c r="F6" s="12" t="n">
        <f aca="false">IFERROR(C6/$C$11,0)</f>
        <v>0.0328665332952272</v>
      </c>
    </row>
    <row r="7" customFormat="false" ht="15" hidden="false" customHeight="false" outlineLevel="0" collapsed="false">
      <c r="A7" s="9" t="s">
        <v>10</v>
      </c>
      <c r="B7" s="9" t="n">
        <f aca="false">SUMIFS('Raw Data'!C2:C39,'Raw Data'!B2:B39,A7)</f>
        <v>18</v>
      </c>
      <c r="C7" s="10" t="n">
        <f aca="false">SUMIFS('Raw Data'!E2:E39,'Raw Data'!B2:B39,A7)</f>
        <v>1602</v>
      </c>
      <c r="D7" s="11" t="n">
        <f aca="false">IFERROR(C7/B7,0)</f>
        <v>89</v>
      </c>
      <c r="E7" s="9" t="n">
        <f aca="false">COUNTIFS('Raw Data'!B2:B39,A7)</f>
        <v>5</v>
      </c>
      <c r="F7" s="12" t="n">
        <f aca="false">IFERROR(C7/$C$11,0)</f>
        <v>0.152615032866533</v>
      </c>
    </row>
    <row r="8" customFormat="false" ht="15" hidden="false" customHeight="false" outlineLevel="0" collapsed="false">
      <c r="A8" s="9" t="s">
        <v>8</v>
      </c>
      <c r="B8" s="9" t="n">
        <f aca="false">SUMIFS('Raw Data'!C2:C39,'Raw Data'!B2:B39,A8)</f>
        <v>24</v>
      </c>
      <c r="C8" s="10" t="n">
        <f aca="false">SUMIFS('Raw Data'!E2:E39,'Raw Data'!B2:B39,A8)</f>
        <v>840</v>
      </c>
      <c r="D8" s="11" t="n">
        <f aca="false">IFERROR(C8/B8,0)</f>
        <v>35</v>
      </c>
      <c r="E8" s="9" t="n">
        <f aca="false">COUNTIFS('Raw Data'!B2:B39,A8)</f>
        <v>7</v>
      </c>
      <c r="F8" s="12" t="n">
        <f aca="false">IFERROR(C8/$C$11,0)</f>
        <v>0.0800228636753358</v>
      </c>
    </row>
    <row r="9" customFormat="false" ht="15" hidden="false" customHeight="false" outlineLevel="0" collapsed="false">
      <c r="A9" s="9" t="s">
        <v>7</v>
      </c>
      <c r="B9" s="9" t="n">
        <f aca="false">SUMIFS('Raw Data'!C2:C39,'Raw Data'!B2:B39,A9)</f>
        <v>3</v>
      </c>
      <c r="C9" s="10" t="n">
        <f aca="false">SUMIFS('Raw Data'!E2:E39,'Raw Data'!B2:B39,A9)</f>
        <v>360</v>
      </c>
      <c r="D9" s="11" t="n">
        <f aca="false">IFERROR(C9/B9,0)</f>
        <v>120</v>
      </c>
      <c r="E9" s="9" t="n">
        <f aca="false">COUNTIFS('Raw Data'!B2:B39,A9)</f>
        <v>3</v>
      </c>
      <c r="F9" s="12" t="n">
        <f aca="false">IFERROR(C9/$C$11,0)</f>
        <v>0.0342955130037154</v>
      </c>
    </row>
    <row r="10" customFormat="false" ht="15" hidden="false" customHeight="false" outlineLevel="0" collapsed="false">
      <c r="A10" s="9" t="s">
        <v>12</v>
      </c>
      <c r="B10" s="9" t="n">
        <f aca="false">SUMIFS('Raw Data'!C2:C39,'Raw Data'!B2:B39,A10)</f>
        <v>24</v>
      </c>
      <c r="C10" s="10" t="n">
        <f aca="false">SUMIFS('Raw Data'!E2:E39,'Raw Data'!B2:B39,A10)</f>
        <v>600</v>
      </c>
      <c r="D10" s="11" t="n">
        <f aca="false">IFERROR(C10/B10,0)</f>
        <v>25</v>
      </c>
      <c r="E10" s="9" t="n">
        <f aca="false">COUNTIFS('Raw Data'!B2:B39,A10)</f>
        <v>6</v>
      </c>
      <c r="F10" s="12" t="n">
        <f aca="false">IFERROR(C10/$C$11,0)</f>
        <v>0.0571591883395256</v>
      </c>
    </row>
    <row r="11" customFormat="false" ht="15" hidden="false" customHeight="false" outlineLevel="0" collapsed="false">
      <c r="A11" s="13" t="s">
        <v>33</v>
      </c>
      <c r="B11" s="13" t="n">
        <f aca="false">SUM(B5:B10)</f>
        <v>107</v>
      </c>
      <c r="C11" s="14" t="n">
        <f aca="false">SUM(C5:C10)</f>
        <v>10497</v>
      </c>
      <c r="D11" s="15" t="n">
        <f aca="false">IFERROR(C11/B11,0)</f>
        <v>98.1028037383178</v>
      </c>
      <c r="E11" s="13" t="n">
        <f aca="false">SUM(E5:E10)</f>
        <v>38</v>
      </c>
      <c r="F11" s="16" t="n">
        <f aca="false">IFERROR(C11/$C$11,0)</f>
        <v>1</v>
      </c>
    </row>
    <row r="13" customFormat="false" ht="15" hidden="false" customHeight="false" outlineLevel="0" collapsed="false">
      <c r="A13" s="17" t="s">
        <v>34</v>
      </c>
    </row>
    <row r="15" customFormat="false" ht="15" hidden="false" customHeight="false" outlineLevel="0" collapsed="false">
      <c r="A15" s="18" t="s">
        <v>35</v>
      </c>
      <c r="B15" s="19" t="str">
        <f aca="false">INDEX(A5:A10,MATCH(MAX(C5:C10),C5:C10,0))</f>
        <v>Backpack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2026-09-26T17:20:56Z</dcterms:created>
  <dc:creator>openpyxl</dc:creator>
  <dc:description/>
  <dc:language>en-US</dc:language>
  <cp:lastModifiedBy/>
  <dcterms:modified xsi:type="dcterms:W3CDTF">2026-09-26T17:20:56Z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